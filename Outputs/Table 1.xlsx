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runel365-my.sharepoint.com/personal/bbbc018_brunel_ac_uk/Documents/Projects/2. Live/MBI in PROTECT/Longitudinal MBI/Outputs/"/>
    </mc:Choice>
  </mc:AlternateContent>
  <xr:revisionPtr revIDLastSave="93" documentId="8_{4FFF6F49-6C3E-4FF8-97E8-C65474D59446}" xr6:coauthVersionLast="47" xr6:coauthVersionMax="47" xr10:uidLastSave="{262B7BA1-C1DF-4C36-9575-A977C0E3C40E}"/>
  <bookViews>
    <workbookView xWindow="-105" yWindow="0" windowWidth="26010" windowHeight="20985" xr2:uid="{E0CFE5AB-0C6D-4945-B6F5-DB1E911845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E37" i="1"/>
  <c r="E36" i="1"/>
  <c r="E33" i="1"/>
  <c r="E32" i="1"/>
  <c r="E31" i="1"/>
  <c r="E30" i="1"/>
  <c r="E27" i="1"/>
  <c r="E26" i="1"/>
  <c r="E25" i="1"/>
  <c r="E24" i="1"/>
  <c r="E21" i="1"/>
  <c r="E20" i="1"/>
  <c r="E19" i="1"/>
  <c r="E18" i="1"/>
  <c r="E17" i="1"/>
  <c r="E14" i="1"/>
  <c r="E13" i="1"/>
  <c r="E12" i="1"/>
  <c r="E9" i="1"/>
  <c r="E8" i="1"/>
  <c r="C44" i="1"/>
  <c r="C43" i="1"/>
  <c r="C37" i="1"/>
  <c r="C36" i="1"/>
  <c r="C33" i="1"/>
  <c r="C32" i="1"/>
  <c r="C31" i="1"/>
  <c r="C30" i="1"/>
  <c r="C27" i="1"/>
  <c r="C26" i="1"/>
  <c r="C25" i="1"/>
  <c r="C24" i="1"/>
  <c r="C21" i="1"/>
  <c r="C20" i="1"/>
  <c r="C19" i="1"/>
  <c r="C18" i="1"/>
  <c r="C17" i="1"/>
  <c r="C14" i="1"/>
  <c r="C13" i="1"/>
  <c r="C12" i="1"/>
  <c r="C9" i="1"/>
  <c r="C8" i="1"/>
</calcChain>
</file>

<file path=xl/sharedStrings.xml><?xml version="1.0" encoding="utf-8"?>
<sst xmlns="http://schemas.openxmlformats.org/spreadsheetml/2006/main" count="35" uniqueCount="35">
  <si>
    <t>Self-rated sample</t>
  </si>
  <si>
    <t>Proxy-rated sample</t>
  </si>
  <si>
    <t>n</t>
  </si>
  <si>
    <t>Age (years; mean, sd)</t>
  </si>
  <si>
    <t>Sex (n, %)</t>
  </si>
  <si>
    <t>Female</t>
  </si>
  <si>
    <t>Male</t>
  </si>
  <si>
    <t>Education Level (n, %)</t>
  </si>
  <si>
    <t>Left school ≤18/vocational training</t>
  </si>
  <si>
    <t>Degree</t>
  </si>
  <si>
    <t>Post-graduate degree</t>
  </si>
  <si>
    <t>Ethnicity (n, %)</t>
  </si>
  <si>
    <t>White/White British</t>
  </si>
  <si>
    <t>Mixed</t>
  </si>
  <si>
    <t>Asian/Asian British</t>
  </si>
  <si>
    <t>Black/Black British</t>
  </si>
  <si>
    <t>Other</t>
  </si>
  <si>
    <t>PHQ9 Category (n, %)</t>
  </si>
  <si>
    <t>&lt;5 (no depressive symptoms)</t>
  </si>
  <si>
    <t>5-9 (mild)</t>
  </si>
  <si>
    <t>10-15 (moderate)</t>
  </si>
  <si>
    <t>&gt;=16 (moderate-severe/severe)</t>
  </si>
  <si>
    <t>BMI Category (n, %)</t>
  </si>
  <si>
    <t>Underweight</t>
  </si>
  <si>
    <t>Normal</t>
  </si>
  <si>
    <t>Overweight</t>
  </si>
  <si>
    <t>Obese/severely obese</t>
  </si>
  <si>
    <t>APOE (n, %)</t>
  </si>
  <si>
    <t>ε4 non-carrier</t>
  </si>
  <si>
    <t>ε4 carrier</t>
  </si>
  <si>
    <t>Median</t>
  </si>
  <si>
    <t>Drop-out</t>
  </si>
  <si>
    <t>Yes</t>
  </si>
  <si>
    <t>No</t>
  </si>
  <si>
    <t>Follow up time (months; median; IQR)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</si>
</sst>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indent="1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A3C3-4998-4E62-B7FD-0D86B2DE3728}">
  <dimension ref="A1:E47"/>
  <sheetViews>
    <sheetView tabSelected="1" topLeftCell="A21" zoomScale="175" zoomScaleNormal="175" workbookViewId="0">
      <selection activeCell="E43" sqref="E43:E44"/>
    </sheetView>
  </sheetViews>
  <sheetFormatPr defaultRowHeight="15" x14ac:dyDescent="0.25"/>
  <cols>
    <col min="1" max="1" width="40.5703125" bestFit="1" customWidth="1"/>
    <col min="2" max="2" width="12.7109375" bestFit="1" customWidth="1"/>
    <col min="3" max="3" width="6.5703125" customWidth="1"/>
    <col min="5" max="5" width="12" customWidth="1"/>
  </cols>
  <sheetData>
    <row r="1" spans="1:5" ht="15.75" thickBot="1" x14ac:dyDescent="0.3">
      <c r="A1" s="1"/>
      <c r="B1" s="16" t="s">
        <v>0</v>
      </c>
      <c r="C1" s="16"/>
      <c r="D1" s="16" t="s">
        <v>1</v>
      </c>
      <c r="E1" s="16"/>
    </row>
    <row r="2" spans="1:5" x14ac:dyDescent="0.25">
      <c r="A2" s="8"/>
      <c r="B2" s="8"/>
      <c r="C2" s="8"/>
      <c r="D2" s="8"/>
      <c r="E2" s="8"/>
    </row>
    <row r="3" spans="1:5" x14ac:dyDescent="0.25">
      <c r="A3" s="2" t="s">
        <v>2</v>
      </c>
      <c r="B3" s="17">
        <v>5075</v>
      </c>
      <c r="C3" s="17"/>
      <c r="D3" s="17">
        <v>3256</v>
      </c>
      <c r="E3" s="17"/>
    </row>
    <row r="4" spans="1:5" x14ac:dyDescent="0.25">
      <c r="A4" s="8"/>
      <c r="B4" s="3"/>
      <c r="C4" s="3"/>
      <c r="D4" s="3"/>
      <c r="E4" s="3"/>
    </row>
    <row r="5" spans="1:5" x14ac:dyDescent="0.25">
      <c r="A5" s="2" t="s">
        <v>3</v>
      </c>
      <c r="B5" s="20">
        <v>63</v>
      </c>
      <c r="C5" s="20">
        <v>6.92</v>
      </c>
      <c r="D5" s="11">
        <v>63.1</v>
      </c>
      <c r="E5" s="20">
        <v>6.8</v>
      </c>
    </row>
    <row r="6" spans="1:5" x14ac:dyDescent="0.25">
      <c r="A6" s="8"/>
      <c r="B6" s="3"/>
      <c r="C6" s="3"/>
      <c r="D6" s="3"/>
      <c r="E6" s="3"/>
    </row>
    <row r="7" spans="1:5" x14ac:dyDescent="0.25">
      <c r="A7" s="2" t="s">
        <v>4</v>
      </c>
      <c r="B7" s="2"/>
      <c r="C7" s="3"/>
      <c r="D7" s="3"/>
      <c r="E7" s="3"/>
    </row>
    <row r="8" spans="1:5" x14ac:dyDescent="0.25">
      <c r="A8" s="5" t="s">
        <v>5</v>
      </c>
      <c r="B8" s="12">
        <v>3767</v>
      </c>
      <c r="C8" s="18">
        <f>B8/$B$3*100</f>
        <v>74.22660098522168</v>
      </c>
      <c r="D8" s="12">
        <v>2389</v>
      </c>
      <c r="E8" s="18">
        <f>D8/$D$3*100</f>
        <v>73.372235872235876</v>
      </c>
    </row>
    <row r="9" spans="1:5" x14ac:dyDescent="0.25">
      <c r="A9" s="5" t="s">
        <v>6</v>
      </c>
      <c r="B9" s="12">
        <v>1290</v>
      </c>
      <c r="C9" s="18">
        <f>B9/$B$3*100</f>
        <v>25.418719211822662</v>
      </c>
      <c r="D9" s="12">
        <v>867</v>
      </c>
      <c r="E9" s="18">
        <f>D9/$D$3*100</f>
        <v>26.627764127764124</v>
      </c>
    </row>
    <row r="10" spans="1:5" x14ac:dyDescent="0.25">
      <c r="A10" s="8"/>
      <c r="B10" s="6"/>
      <c r="C10" s="13"/>
      <c r="D10" s="3"/>
      <c r="E10" s="19"/>
    </row>
    <row r="11" spans="1:5" x14ac:dyDescent="0.25">
      <c r="A11" s="2" t="s">
        <v>7</v>
      </c>
      <c r="B11" s="2"/>
      <c r="C11" s="13"/>
      <c r="D11" s="3"/>
      <c r="E11" s="19"/>
    </row>
    <row r="12" spans="1:5" x14ac:dyDescent="0.25">
      <c r="A12" s="5" t="s">
        <v>8</v>
      </c>
      <c r="B12" s="12">
        <v>2267</v>
      </c>
      <c r="C12" s="18">
        <f t="shared" ref="C12:C14" si="0">B12/$B$3*100</f>
        <v>44.669950738916256</v>
      </c>
      <c r="D12" s="12">
        <v>1374</v>
      </c>
      <c r="E12" s="18">
        <f t="shared" ref="E12:E14" si="1">D12/$D$3*100</f>
        <v>42.199017199017199</v>
      </c>
    </row>
    <row r="13" spans="1:5" x14ac:dyDescent="0.25">
      <c r="A13" s="5" t="s">
        <v>9</v>
      </c>
      <c r="B13" s="12">
        <v>1734</v>
      </c>
      <c r="C13" s="18">
        <f t="shared" si="0"/>
        <v>34.167487684729068</v>
      </c>
      <c r="D13" s="12">
        <v>1157</v>
      </c>
      <c r="E13" s="18">
        <f t="shared" si="1"/>
        <v>35.534398034398038</v>
      </c>
    </row>
    <row r="14" spans="1:5" x14ac:dyDescent="0.25">
      <c r="A14" s="5" t="s">
        <v>10</v>
      </c>
      <c r="B14" s="12">
        <v>1056</v>
      </c>
      <c r="C14" s="18">
        <f t="shared" si="0"/>
        <v>20.807881773399014</v>
      </c>
      <c r="D14" s="12">
        <v>725</v>
      </c>
      <c r="E14" s="18">
        <f t="shared" si="1"/>
        <v>22.266584766584767</v>
      </c>
    </row>
    <row r="15" spans="1:5" x14ac:dyDescent="0.25">
      <c r="A15" s="8"/>
      <c r="B15" s="6"/>
      <c r="C15" s="13"/>
      <c r="D15" s="3"/>
      <c r="E15" s="19"/>
    </row>
    <row r="16" spans="1:5" x14ac:dyDescent="0.25">
      <c r="A16" s="2" t="s">
        <v>11</v>
      </c>
      <c r="B16" s="2"/>
      <c r="C16" s="13"/>
      <c r="D16" s="3"/>
      <c r="E16" s="19"/>
    </row>
    <row r="17" spans="1:5" x14ac:dyDescent="0.25">
      <c r="A17" s="5" t="s">
        <v>12</v>
      </c>
      <c r="B17" s="12">
        <v>5046</v>
      </c>
      <c r="C17" s="18">
        <f t="shared" ref="C17:C21" si="2">B17/$B$3*100</f>
        <v>99.428571428571431</v>
      </c>
      <c r="D17" s="12">
        <v>3249</v>
      </c>
      <c r="E17" s="18">
        <f t="shared" ref="E17:E21" si="3">D17/$D$3*100</f>
        <v>99.785012285012286</v>
      </c>
    </row>
    <row r="18" spans="1:5" x14ac:dyDescent="0.25">
      <c r="A18" s="5" t="s">
        <v>13</v>
      </c>
      <c r="B18" s="12">
        <v>7</v>
      </c>
      <c r="C18" s="18">
        <f t="shared" si="2"/>
        <v>0.13793103448275862</v>
      </c>
      <c r="D18" s="12">
        <v>5</v>
      </c>
      <c r="E18" s="18">
        <f t="shared" si="3"/>
        <v>0.15356265356265356</v>
      </c>
    </row>
    <row r="19" spans="1:5" x14ac:dyDescent="0.25">
      <c r="A19" s="5" t="s">
        <v>14</v>
      </c>
      <c r="B19" s="4">
        <v>0</v>
      </c>
      <c r="C19" s="18">
        <f t="shared" si="2"/>
        <v>0</v>
      </c>
      <c r="D19" s="4">
        <v>0</v>
      </c>
      <c r="E19" s="18">
        <f t="shared" si="3"/>
        <v>0</v>
      </c>
    </row>
    <row r="20" spans="1:5" x14ac:dyDescent="0.25">
      <c r="A20" s="5" t="s">
        <v>15</v>
      </c>
      <c r="B20" s="4">
        <v>0</v>
      </c>
      <c r="C20" s="18">
        <f t="shared" si="2"/>
        <v>0</v>
      </c>
      <c r="D20" s="4">
        <v>0</v>
      </c>
      <c r="E20" s="18">
        <f t="shared" si="3"/>
        <v>0</v>
      </c>
    </row>
    <row r="21" spans="1:5" x14ac:dyDescent="0.25">
      <c r="A21" s="5" t="s">
        <v>16</v>
      </c>
      <c r="B21" s="4">
        <v>4</v>
      </c>
      <c r="C21" s="18">
        <f t="shared" si="2"/>
        <v>7.8817733990147784E-2</v>
      </c>
      <c r="D21" s="4">
        <v>2</v>
      </c>
      <c r="E21" s="18">
        <f t="shared" si="3"/>
        <v>6.1425061425061427E-2</v>
      </c>
    </row>
    <row r="22" spans="1:5" x14ac:dyDescent="0.25">
      <c r="A22" s="8"/>
      <c r="B22" s="6"/>
      <c r="C22" s="13"/>
      <c r="D22" s="3"/>
      <c r="E22" s="19"/>
    </row>
    <row r="23" spans="1:5" x14ac:dyDescent="0.25">
      <c r="A23" s="2" t="s">
        <v>17</v>
      </c>
      <c r="B23" s="2"/>
      <c r="C23" s="13"/>
      <c r="D23" s="3"/>
      <c r="E23" s="19"/>
    </row>
    <row r="24" spans="1:5" x14ac:dyDescent="0.25">
      <c r="A24" s="5" t="s">
        <v>18</v>
      </c>
      <c r="B24" s="12">
        <v>4162</v>
      </c>
      <c r="C24" s="18">
        <f t="shared" ref="C24:C27" si="4">B24/$B$3*100</f>
        <v>82.009852216748769</v>
      </c>
      <c r="D24" s="12">
        <v>2743</v>
      </c>
      <c r="E24" s="18">
        <f t="shared" ref="E24:E27" si="5">D24/$D$3*100</f>
        <v>84.244471744471753</v>
      </c>
    </row>
    <row r="25" spans="1:5" x14ac:dyDescent="0.25">
      <c r="A25" s="5" t="s">
        <v>19</v>
      </c>
      <c r="B25" s="12">
        <v>727</v>
      </c>
      <c r="C25" s="18">
        <f t="shared" si="4"/>
        <v>14.325123152709359</v>
      </c>
      <c r="D25" s="12">
        <v>420</v>
      </c>
      <c r="E25" s="18">
        <f t="shared" si="5"/>
        <v>12.899262899262901</v>
      </c>
    </row>
    <row r="26" spans="1:5" x14ac:dyDescent="0.25">
      <c r="A26" s="5" t="s">
        <v>20</v>
      </c>
      <c r="B26" s="12">
        <v>130</v>
      </c>
      <c r="C26" s="18">
        <f t="shared" si="4"/>
        <v>2.5615763546798029</v>
      </c>
      <c r="D26" s="12">
        <v>72</v>
      </c>
      <c r="E26" s="18">
        <f t="shared" si="5"/>
        <v>2.2113022113022112</v>
      </c>
    </row>
    <row r="27" spans="1:5" x14ac:dyDescent="0.25">
      <c r="A27" s="5" t="s">
        <v>21</v>
      </c>
      <c r="B27" s="12">
        <v>38</v>
      </c>
      <c r="C27" s="18">
        <f t="shared" si="4"/>
        <v>0.74876847290640391</v>
      </c>
      <c r="D27" s="12">
        <v>21</v>
      </c>
      <c r="E27" s="18">
        <f t="shared" si="5"/>
        <v>0.64496314496314489</v>
      </c>
    </row>
    <row r="28" spans="1:5" x14ac:dyDescent="0.25">
      <c r="A28" s="8"/>
      <c r="B28" s="6"/>
      <c r="C28" s="19"/>
      <c r="D28" s="3"/>
      <c r="E28" s="13"/>
    </row>
    <row r="29" spans="1:5" x14ac:dyDescent="0.25">
      <c r="A29" s="2" t="s">
        <v>22</v>
      </c>
      <c r="B29" s="2"/>
      <c r="C29" s="13"/>
      <c r="D29" s="3"/>
      <c r="E29" s="13"/>
    </row>
    <row r="30" spans="1:5" x14ac:dyDescent="0.25">
      <c r="A30" s="5" t="s">
        <v>23</v>
      </c>
      <c r="B30" s="12">
        <v>56</v>
      </c>
      <c r="C30" s="18">
        <f t="shared" ref="C30:C33" si="6">B30/$B$3*100</f>
        <v>1.103448275862069</v>
      </c>
      <c r="D30" s="12">
        <v>33</v>
      </c>
      <c r="E30" s="18">
        <f t="shared" ref="E30:E33" si="7">D30/$D$3*100</f>
        <v>1.0135135135135136</v>
      </c>
    </row>
    <row r="31" spans="1:5" x14ac:dyDescent="0.25">
      <c r="A31" s="5" t="s">
        <v>24</v>
      </c>
      <c r="B31" s="12">
        <v>2586</v>
      </c>
      <c r="C31" s="18">
        <f t="shared" si="6"/>
        <v>50.955665024630534</v>
      </c>
      <c r="D31" s="12">
        <v>1714</v>
      </c>
      <c r="E31" s="18">
        <f t="shared" si="7"/>
        <v>52.64127764127764</v>
      </c>
    </row>
    <row r="32" spans="1:5" x14ac:dyDescent="0.25">
      <c r="A32" s="5" t="s">
        <v>25</v>
      </c>
      <c r="B32" s="12">
        <v>1611</v>
      </c>
      <c r="C32" s="18">
        <f t="shared" si="6"/>
        <v>31.743842364532021</v>
      </c>
      <c r="D32" s="12">
        <v>1017</v>
      </c>
      <c r="E32" s="18">
        <f t="shared" si="7"/>
        <v>31.234643734643736</v>
      </c>
    </row>
    <row r="33" spans="1:5" x14ac:dyDescent="0.25">
      <c r="A33" s="5" t="s">
        <v>26</v>
      </c>
      <c r="B33" s="12">
        <v>804</v>
      </c>
      <c r="C33" s="18">
        <f t="shared" si="6"/>
        <v>15.842364532019705</v>
      </c>
      <c r="D33" s="12">
        <v>492</v>
      </c>
      <c r="E33" s="18">
        <f t="shared" si="7"/>
        <v>15.11056511056511</v>
      </c>
    </row>
    <row r="34" spans="1:5" x14ac:dyDescent="0.25">
      <c r="A34" s="8"/>
      <c r="B34" s="6"/>
      <c r="C34" s="13"/>
      <c r="D34" s="3"/>
      <c r="E34" s="13"/>
    </row>
    <row r="35" spans="1:5" x14ac:dyDescent="0.25">
      <c r="A35" s="2" t="s">
        <v>27</v>
      </c>
      <c r="B35" s="2"/>
      <c r="C35" s="13"/>
      <c r="D35" s="3"/>
      <c r="E35" s="13"/>
    </row>
    <row r="36" spans="1:5" x14ac:dyDescent="0.25">
      <c r="A36" s="5" t="s">
        <v>28</v>
      </c>
      <c r="B36" s="12">
        <v>3496</v>
      </c>
      <c r="C36" s="18">
        <f t="shared" ref="C36:C37" si="8">B36/$B$3*100</f>
        <v>68.886699507389153</v>
      </c>
      <c r="D36" s="12">
        <v>2262</v>
      </c>
      <c r="E36" s="18">
        <f t="shared" ref="E36:E37" si="9">D36/$D$3*100</f>
        <v>69.471744471744472</v>
      </c>
    </row>
    <row r="37" spans="1:5" x14ac:dyDescent="0.25">
      <c r="A37" s="5" t="s">
        <v>29</v>
      </c>
      <c r="B37" s="12">
        <v>1561</v>
      </c>
      <c r="C37" s="18">
        <f t="shared" si="8"/>
        <v>30.758620689655174</v>
      </c>
      <c r="D37" s="12">
        <v>994</v>
      </c>
      <c r="E37" s="18">
        <f t="shared" si="9"/>
        <v>30.528255528255528</v>
      </c>
    </row>
    <row r="38" spans="1:5" x14ac:dyDescent="0.25">
      <c r="A38" s="8"/>
      <c r="B38" s="6"/>
      <c r="C38" s="13"/>
      <c r="D38" s="3"/>
      <c r="E38" s="13"/>
    </row>
    <row r="39" spans="1:5" x14ac:dyDescent="0.25">
      <c r="A39" s="2" t="s">
        <v>34</v>
      </c>
      <c r="B39" s="8"/>
      <c r="C39" s="14"/>
      <c r="D39" s="12"/>
      <c r="E39" s="14"/>
    </row>
    <row r="40" spans="1:5" x14ac:dyDescent="0.25">
      <c r="A40" s="5" t="s">
        <v>30</v>
      </c>
      <c r="B40" s="18">
        <v>71.8</v>
      </c>
      <c r="C40" s="18">
        <v>35.4</v>
      </c>
      <c r="D40" s="18">
        <v>59.3</v>
      </c>
      <c r="E40" s="18">
        <v>55.8</v>
      </c>
    </row>
    <row r="41" spans="1:5" x14ac:dyDescent="0.25">
      <c r="A41" s="8"/>
      <c r="B41" s="8"/>
      <c r="C41" s="15"/>
      <c r="D41" s="8"/>
      <c r="E41" s="15"/>
    </row>
    <row r="42" spans="1:5" x14ac:dyDescent="0.25">
      <c r="A42" s="9" t="s">
        <v>31</v>
      </c>
      <c r="B42" s="8"/>
      <c r="C42" s="15"/>
      <c r="D42" s="8"/>
      <c r="E42" s="15"/>
    </row>
    <row r="43" spans="1:5" x14ac:dyDescent="0.25">
      <c r="A43" s="10" t="s">
        <v>32</v>
      </c>
      <c r="B43" s="12">
        <v>3227</v>
      </c>
      <c r="C43" s="18">
        <f t="shared" ref="C43:C44" si="10">B43/$B$3*100</f>
        <v>63.586206896551722</v>
      </c>
      <c r="D43" s="12">
        <v>2359</v>
      </c>
      <c r="E43" s="18">
        <f t="shared" ref="E43:E44" si="11">D43/$D$3*100</f>
        <v>72.45085995085995</v>
      </c>
    </row>
    <row r="44" spans="1:5" x14ac:dyDescent="0.25">
      <c r="A44" s="10" t="s">
        <v>33</v>
      </c>
      <c r="B44" s="12">
        <v>1830</v>
      </c>
      <c r="C44" s="18">
        <f t="shared" si="10"/>
        <v>36.059113300492612</v>
      </c>
      <c r="D44" s="12">
        <v>897</v>
      </c>
      <c r="E44" s="18">
        <f t="shared" si="11"/>
        <v>27.549140049140046</v>
      </c>
    </row>
    <row r="47" spans="1:5" x14ac:dyDescent="0.25">
      <c r="A4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Brunel University London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Byron Creese (Staff)</dc:creator>
  <cp:keywords/>
  <dc:description/>
  <cp:lastModifiedBy>Byron Creese (Staff)</cp:lastModifiedBy>
  <cp:revision/>
  <dcterms:created xsi:type="dcterms:W3CDTF">2025-11-04T15:15:02Z</dcterms:created>
  <dcterms:modified xsi:type="dcterms:W3CDTF">2026-03-16T10:48:31Z</dcterms:modified>
  <cp:category/>
  <cp:contentStatus/>
</cp:coreProperties>
</file>